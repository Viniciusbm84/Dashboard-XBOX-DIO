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vinic\Downloads\"/>
    </mc:Choice>
  </mc:AlternateContent>
  <xr:revisionPtr revIDLastSave="0" documentId="13_ncr:1_{5497DB28-4AB6-4E3E-9464-2E90C70824A3}" xr6:coauthVersionLast="47" xr6:coauthVersionMax="47" xr10:uidLastSave="{00000000-0000-0000-0000-000000000000}"/>
  <bookViews>
    <workbookView xWindow="-23148" yWindow="-108" windowWidth="23256" windowHeight="12456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4" l="1"/>
  <c r="L27" i="4"/>
  <c r="K27" i="4"/>
  <c r="J27" i="4"/>
  <c r="I27" i="4"/>
  <c r="H27" i="4"/>
  <c r="G27" i="4"/>
  <c r="F27" i="4"/>
  <c r="E27" i="4"/>
  <c r="D27" i="4"/>
  <c r="C27" i="4"/>
  <c r="B27" i="4"/>
  <c r="P22" i="4"/>
  <c r="P21" i="4"/>
  <c r="P15" i="4"/>
  <c r="P14" i="4"/>
  <c r="P13" i="4"/>
  <c r="D15" i="4"/>
  <c r="D14" i="4"/>
  <c r="D13" i="4"/>
  <c r="F7" i="4"/>
  <c r="M26" i="4" a="1"/>
  <c r="M26" i="4"/>
  <c r="L26" i="4" a="1"/>
  <c r="L26" i="4" s="1"/>
  <c r="K26" i="4" a="1"/>
  <c r="K26" i="4" s="1"/>
  <c r="J26" i="4" a="1"/>
  <c r="J26" i="4" s="1"/>
  <c r="I26" i="4" a="1"/>
  <c r="I26" i="4" s="1"/>
  <c r="H26" i="4" a="1"/>
  <c r="H26" i="4" s="1"/>
  <c r="G26" i="4" a="1"/>
  <c r="G26" i="4" s="1"/>
  <c r="F26" i="4" a="1"/>
  <c r="F26" i="4" s="1"/>
  <c r="E26" i="4" a="1"/>
  <c r="E26" i="4" s="1"/>
  <c r="D26" i="4" a="1"/>
  <c r="D26" i="4" s="1"/>
  <c r="C26" i="4" a="1"/>
  <c r="C26" i="4" s="1"/>
  <c r="B26" i="4" a="1"/>
  <c r="B26" i="4"/>
  <c r="P20" i="4"/>
  <c r="K22" i="4"/>
  <c r="J22" i="4"/>
  <c r="K21" i="4"/>
  <c r="J21" i="4"/>
  <c r="K20" i="4"/>
  <c r="J20" i="4"/>
  <c r="C22" i="4"/>
  <c r="D21" i="4"/>
  <c r="C21" i="4"/>
  <c r="D20" i="4"/>
  <c r="C20" i="4"/>
  <c r="J15" i="4"/>
  <c r="I15" i="4"/>
  <c r="J14" i="4"/>
  <c r="I14" i="4"/>
  <c r="J13" i="4"/>
  <c r="I13" i="4"/>
  <c r="E15" i="4"/>
  <c r="C15" i="4"/>
  <c r="E14" i="4"/>
  <c r="C14" i="4"/>
  <c r="E13" i="4"/>
  <c r="C13" i="4"/>
  <c r="N7" i="4"/>
  <c r="J7" i="4"/>
  <c r="B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<sst xmlns="http://schemas.openxmlformats.org/spreadsheetml/2006/main" count="2055" uniqueCount="367">
  <si>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</si>
  <si>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</si>
  <si>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</si>
  <si>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</si>
  <si>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</si>
  <si>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</si>
  <si>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</si>
  <si>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</si>
  <si>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</si>
  <si>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</si>
  <si>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</si>
  <si>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</si>
  <si>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</si>
  <si>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</si>
  <si>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</si>
  <si>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</si>
  <si>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</si>
  <si>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</si>
  <si>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</si>
  <si>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</si>
  <si>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</si>
  <si>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</si>
  <si>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</si>
  <si>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</si>
  <si>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</si>
  <si>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</si>
  <si>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</si>
  <si>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</si>
  <si>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</si>
  <si>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</si>
  <si>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</si>
  <si>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</si>
  <si>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</si>
  <si>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</si>
  <si>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</si>
  <si>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</si>
  <si>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</si>
  <si>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</si>
  <si>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</si>
  <si>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</si>
  <si>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</si>
  <si>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</si>
  <si>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</si>
  <si>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</si>
  <si>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</si>
  <si>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</si>
  <si>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</si>
  <si>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</si>
  <si>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</si>
  <si>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</si>
  <si>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</si>
  <si>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</si>
  <si>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</si>
  <si>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</si>
  <si>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</si>
  <si>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</si>
  <si>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</si>
  <si>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</si>
  <si>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</si>
  <si>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</si>
  <si>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</si>
  <si>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</si>
  <si>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</si>
  <si>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</si>
  <si>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</si>
  <si>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</si>
  <si>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</si>
  <si>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</si>
  <si>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</si>
  <si>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</si>
  <si>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</si>
  <si>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</si>
  <si>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</si>
  <si>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</si>
  <si>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</si>
  <si>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</si>
  <si>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</si>
  <si>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</si>
  <si>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</si>
  <si>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</si>
  <si>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</si>
  <si>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</si>
  <si>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</si>
  <si>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</si>
  <si>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</si>
  <si>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</si>
  <si>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</si>
  <si>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</si>
  <si>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</si>
  <si>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</si>
  <si>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</si>
  <si>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</si>
  <si>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</si>
  <si>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</si>
  <si>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</si>
  <si>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</si>
  <si>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</si>
  <si>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</si>
  <si>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</si>
  <si>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</si>
  <si>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</si>
  <si>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</si>
  <si>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</si>
  <si>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</si>
  <si>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</si>
  <si>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</si>
  <si>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</si>
  <si>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</si>
  <si>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</si>
  <si>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</si>
  <si>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</si>
  <si>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</si>
  <si>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</si>
  <si>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</si>
  <si>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</si>
  <si>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</si>
  <si>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</si>
  <si>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</si>
  <si>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</si>
  <si>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</si>
  <si>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</si>
  <si>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</si>
  <si>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</si>
  <si>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</si>
  <si>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</si>
  <si>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</si>
  <si>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</si>
  <si>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</si>
  <si>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</si>
  <si>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</si>
  <si>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</si>
  <si>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</si>
  <si>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</si>
  <si>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</si>
  <si>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</si>
  <si>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</si>
  <si>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</si>
  <si>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</si>
  <si>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</si>
  <si>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</si>
  <si>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</si>
  <si>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</si>
  <si>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</si>
  <si>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</si>
  <si>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</si>
  <si>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</si>
  <si>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</si>
  <si>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</si>
  <si>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</si>
  <si>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</si>
  <si>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</si>
  <si>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</si>
  <si>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</si>
  <si>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</si>
  <si>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</si>
  <si>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</si>
  <si>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</si>
  <si>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</si>
  <si>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</si>
  <si>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</si>
  <si>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</si>
  <si>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</si>
  <si>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</si>
  <si>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</si>
  <si>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</si>
  <si>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</si>
  <si>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</si>
  <si>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</si>
  <si>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</si>
  <si>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</si>
  <si>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</si>
  <si>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</si>
  <si>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</si>
  <si>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</si>
  <si>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</si>
  <si>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</si>
  <si>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</si>
  <si>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</si>
  <si>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</si>
  <si>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</si>
  <si>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</si>
  <si>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</si>
  <si>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</si>
  <si>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</si>
  <si>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</si>
  <si>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</si>
  <si>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</si>
  <si>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</si>
  <si>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</si>
  <si>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</si>
  <si>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</si>
  <si>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</si>
  <si>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</si>
  <si>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</si>
  <si>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</si>
  <si>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</si>
  <si>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</si>
  <si>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</si>
  <si>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</si>
  <si>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</si>
  <si>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</si>
  <si>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</si>
  <si>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</si>
  <si>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</si>
  <si>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</si>
  <si>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</si>
  <si>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</si>
  <si>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</si>
  <si>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</si>
  <si>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</si>
  <si>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</si>
  <si>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</si>
  <si>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</si>
  <si>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</si>
  <si>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</si>
  <si>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</si>
  <si>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</si>
  <si>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</si>
  <si>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</si>
  <si>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</si>
  <si>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</si>
  <si>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</si>
  <si>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</si>
  <si>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</si>
  <si>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</si>
  <si>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</si>
  <si>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</si>
  <si>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</si>
  <si>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</si>
  <si>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</si>
  <si>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</si>
  <si>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</si>
  <si>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</si>
  <si>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</si>
  <si>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</si>
  <si>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</si>
  <si>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</si>
  <si>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</si>
  <si>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</si>
  <si>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</si>
  <si>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</si>
  <si>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</si>
  <si>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</si>
  <si>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</si>
  <si>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</si>
  <si>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</si>
  <si>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</si>
  <si>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</si>
  <si>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</si>
  <si>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</si>
  <si>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</si>
  <si>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</si>
  <si>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</si>
  <si>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</si>
  <si>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</si>
  <si>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</si>
  <si>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</si>
  <si>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</si>
  <si>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</si>
  <si>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</si>
  <si>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</si>
  <si>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</si>
  <si>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</si>
  <si>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</si>
  <si>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</si>
  <si>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</si>
  <si>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</si>
  <si>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</si>
  <si>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</si>
  <si>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</si>
  <si>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</si>
  <si>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</si>
  <si>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</si>
  <si>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</si>
  <si>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</si>
  <si>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</si>
  <si>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</si>
  <si>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</si>
  <si>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</si>
  <si>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</si>
  <si>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</si>
  <si>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</si>
  <si>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</si>
  <si>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</si>
  <si>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</si>
  <si>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</si>
  <si>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</si>
  <si>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</si>
  <si>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</si>
  <si>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</si>
  <si>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</si>
  <si>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</si>
  <si>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</si>
  <si>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</si>
  <si>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</si>
  <si>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</si>
  <si>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</si>
  <si>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</si>
  <si>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</si>
  <si>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</si>
  <si>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</si>
  <si>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</si>
  <si>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</si>
  <si>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</si>
  <si>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</si>
  <si>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</si>
  <si>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</si>
  <si>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</si>
  <si>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</si>
  <si>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</si>
  <si>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</si>
  <si>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</si>
  <si>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</si>
  <si>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📊 TOTAL ASSINANTES</t>
  </si>
  <si>
    <t>💰 RECEITA TOTAL</t>
  </si>
  <si>
    <t>🎯 EA PLAY ATIVOS</t>
  </si>
  <si>
    <t>⛏️ MINECRAFT ATIVOS</t>
  </si>
  <si>
    <t>📈 DISTRIBUIÇÃO POR PLANO</t>
  </si>
  <si>
    <t>Plano</t>
  </si>
  <si>
    <t>Receita</t>
  </si>
  <si>
    <t>📊 TIPO DE ASSINATURA</t>
  </si>
  <si>
    <t>Tipo</t>
  </si>
  <si>
    <t>%</t>
  </si>
  <si>
    <t>TOTAL</t>
  </si>
  <si>
    <t>🔄 RENOVAÇÃO AUTOMÁTICA</t>
  </si>
  <si>
    <t>Status</t>
  </si>
  <si>
    <t>Qtd</t>
  </si>
  <si>
    <t>✅ Ativo</t>
  </si>
  <si>
    <t>❌ Inativo</t>
  </si>
  <si>
    <t>💵 MÉTRICAS FINANCEIRAS</t>
  </si>
  <si>
    <t>Métrica</t>
  </si>
  <si>
    <t>Valor</t>
  </si>
  <si>
    <t>Ticket Médio</t>
  </si>
  <si>
    <t>Receita EA Play</t>
  </si>
  <si>
    <t>Receita Minecraft</t>
  </si>
  <si>
    <t>Total Cupons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</si>
  <si>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</si>
  <si>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</si>
  <si>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</si>
  <si>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</si>
  <si>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</si>
  <si>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</si>
  <si>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</si>
  <si>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</si>
  <si>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</si>
  <si>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</si>
  <si>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</si>
  <si>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</si>
  <si>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Novos</t>
  </si>
  <si>
    <t>⚡ INDICADORES RÁPIDOS</t>
  </si>
  <si>
    <t>🎮  XBOX GAME PASS  |  DASHBOARD DE ASSINATURAS</t>
  </si>
  <si>
    <t>🟢 Ultimate</t>
  </si>
  <si>
    <t>🔵 Standard</t>
  </si>
  <si>
    <t>⚪ Core</t>
  </si>
  <si>
    <t>📅 Monthly</t>
  </si>
  <si>
    <t>📆 Quarterly</t>
  </si>
  <si>
    <t>📅 Annual</t>
  </si>
  <si>
    <t>🎮 SEASON PASS ANALYSIS</t>
  </si>
  <si>
    <t>Combinação</t>
  </si>
  <si>
    <t>🎯⛏️ EA + Minecraft</t>
  </si>
  <si>
    <t>🎯 Só EA Play</t>
  </si>
  <si>
    <t>⛏️ Só Minecraft</t>
  </si>
  <si>
    <t>Indicador</t>
  </si>
  <si>
    <t>% Ultimate</t>
  </si>
  <si>
    <t>Maior Valor</t>
  </si>
  <si>
    <t>🏆 RESUMO MENSAL 2024 - NOVOS ASSINANTES E RECEITA</t>
  </si>
  <si>
    <t>🎮 XBOX GAME PASS ANALYTICS  |  ©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</si>
</sst>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7" formatCode="\R&quot;R$&quot;\ #.##0"/>
    <numFmt numFmtId="168" formatCode="\R&quot;R$&quot;\ #.##000"/>
  </numFmts>
  <fonts count="19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2"/>
      <color rgb="FF2AE6B1"/>
      <name val="Aptos Narrow"/>
      <family val="2"/>
      <scheme val="minor"/>
    </font>
    <font>
      <b/>
      <sz val="22"/>
      <color rgb="FF9BC848"/>
      <name val="Aptos Narrow"/>
      <family val="2"/>
      <scheme val="minor"/>
    </font>
    <font>
      <b/>
      <sz val="11"/>
      <color rgb="FF1A1A1A"/>
      <name val="Aptos Narrow"/>
      <family val="2"/>
      <scheme val="minor"/>
    </font>
    <font>
      <b/>
      <sz val="28"/>
      <color rgb="FF1A1A1A"/>
      <name val="Aptos Narrow"/>
      <family val="2"/>
      <scheme val="minor"/>
    </font>
    <font>
      <b/>
      <sz val="12"/>
      <color rgb="FF9BC848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rgb="FF22C55E"/>
      <name val="Aptos Narrow"/>
      <family val="2"/>
      <scheme val="minor"/>
    </font>
    <font>
      <b/>
      <sz val="12"/>
      <color rgb="FF5BF6A8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rgb="FF22C55E"/>
      <name val="Aptos Narrow"/>
      <family val="2"/>
      <scheme val="minor"/>
    </font>
    <font>
      <b/>
      <sz val="10"/>
      <color rgb="FF22C55E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9BC848"/>
      </bottom>
      <diagonal/>
    </border>
    <border>
      <left style="thick">
        <color rgb="FF9BC848"/>
      </left>
      <right/>
      <top/>
      <bottom/>
      <diagonal/>
    </border>
    <border>
      <left/>
      <right/>
      <top/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 style="thick">
        <color rgb="FF9BC848"/>
      </left>
      <right/>
      <top/>
      <bottom style="thin">
        <color rgb="FFE0E0E0"/>
      </bottom>
      <diagonal/>
    </border>
    <border>
      <left style="thick">
        <color rgb="FFE0E0E0"/>
      </left>
      <right/>
      <top/>
      <bottom/>
      <diagonal/>
    </border>
    <border>
      <left style="thick">
        <color rgb="FFE0E0E0"/>
      </left>
      <right/>
      <top style="thin">
        <color rgb="FFE0E0E0"/>
      </top>
      <bottom/>
      <diagonal/>
    </border>
    <border>
      <left style="thick">
        <color rgb="FFE0E0E0"/>
      </left>
      <right/>
      <top/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/>
      <diagonal/>
    </border>
    <border>
      <left/>
      <right style="thin">
        <color rgb="FFE0E0E0"/>
      </right>
      <top/>
      <bottom/>
      <diagonal/>
    </border>
    <border>
      <left/>
      <right style="thin">
        <color rgb="FFE0E0E0"/>
      </right>
      <top/>
      <bottom style="thin">
        <color rgb="FFE0E0E0"/>
      </bottom>
      <diagonal/>
    </border>
    <border>
      <left style="thin">
        <color rgb="FFE0E0E0"/>
      </left>
      <right/>
      <top/>
      <bottom/>
      <diagonal/>
    </border>
    <border>
      <left style="thin">
        <color rgb="FFE0E0E0"/>
      </left>
      <right/>
      <top style="thin">
        <color rgb="FFE0E0E0"/>
      </top>
      <bottom/>
      <diagonal/>
    </border>
    <border>
      <left style="thin">
        <color rgb="FFE0E0E0"/>
      </left>
      <right/>
      <top/>
      <bottom style="thin">
        <color rgb="FFE0E0E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9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0" borderId="0" xfId="0" applyFont="1"/>
    <xf numFmtId="0" fontId="7" fillId="8" borderId="0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9" fillId="10" borderId="0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center" vertical="center"/>
    </xf>
    <xf numFmtId="0" fontId="11" fillId="9" borderId="0" xfId="0" applyFont="1" applyFill="1" applyBorder="1" applyAlignment="1">
      <alignment horizontal="center"/>
    </xf>
    <xf numFmtId="0" fontId="12" fillId="10" borderId="0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6" fillId="7" borderId="0" xfId="0" applyFont="1" applyFill="1" applyAlignment="1">
      <alignment horizontal="right"/>
    </xf>
    <xf numFmtId="0" fontId="17" fillId="8" borderId="0" xfId="0" applyFont="1" applyFill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9" fillId="10" borderId="6" xfId="0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/>
    </xf>
    <xf numFmtId="0" fontId="9" fillId="10" borderId="12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9" fillId="10" borderId="15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11" fillId="9" borderId="13" xfId="0" applyFont="1" applyFill="1" applyBorder="1" applyAlignment="1">
      <alignment horizontal="center"/>
    </xf>
    <xf numFmtId="0" fontId="12" fillId="10" borderId="13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1" fillId="9" borderId="11" xfId="0" applyFont="1" applyFill="1" applyBorder="1" applyAlignment="1">
      <alignment horizontal="center"/>
    </xf>
    <xf numFmtId="0" fontId="12" fillId="10" borderId="11" xfId="0" applyFont="1" applyFill="1" applyBorder="1" applyAlignment="1">
      <alignment horizontal="center" vertical="center"/>
    </xf>
    <xf numFmtId="0" fontId="12" fillId="10" borderId="12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3" fillId="8" borderId="14" xfId="0" applyFont="1" applyFill="1" applyBorder="1" applyAlignment="1">
      <alignment horizontal="center" vertical="center"/>
    </xf>
    <xf numFmtId="0" fontId="13" fillId="8" borderId="1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/>
    </xf>
    <xf numFmtId="0" fontId="12" fillId="10" borderId="13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15" fillId="10" borderId="0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5" fillId="10" borderId="15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/>
    </xf>
    <xf numFmtId="0" fontId="12" fillId="11" borderId="13" xfId="0" applyFont="1" applyFill="1" applyBorder="1" applyAlignment="1">
      <alignment horizontal="center" vertical="center"/>
    </xf>
    <xf numFmtId="0" fontId="12" fillId="11" borderId="0" xfId="0" applyFont="1" applyFill="1" applyBorder="1" applyAlignment="1">
      <alignment horizontal="center" vertical="center"/>
    </xf>
    <xf numFmtId="0" fontId="12" fillId="11" borderId="11" xfId="0" applyFont="1" applyFill="1" applyBorder="1" applyAlignment="1">
      <alignment horizontal="center" vertical="center"/>
    </xf>
    <xf numFmtId="0" fontId="12" fillId="11" borderId="13" xfId="0" applyFont="1" applyFill="1" applyBorder="1" applyAlignment="1">
      <alignment horizontal="center" vertical="center"/>
    </xf>
    <xf numFmtId="0" fontId="12" fillId="11" borderId="0" xfId="0" applyFont="1" applyFill="1" applyBorder="1" applyAlignment="1">
      <alignment horizontal="center" vertical="center"/>
    </xf>
    <xf numFmtId="0" fontId="15" fillId="11" borderId="0" xfId="0" applyFont="1" applyFill="1" applyBorder="1" applyAlignment="1">
      <alignment horizontal="center" vertical="center"/>
    </xf>
    <xf numFmtId="9" fontId="18" fillId="10" borderId="0" xfId="0" applyNumberFormat="1" applyFont="1" applyFill="1" applyBorder="1" applyAlignment="1">
      <alignment horizontal="center" vertical="center"/>
    </xf>
    <xf numFmtId="9" fontId="18" fillId="11" borderId="0" xfId="0" applyNumberFormat="1" applyFont="1" applyFill="1" applyBorder="1" applyAlignment="1">
      <alignment horizontal="center" vertical="center"/>
    </xf>
    <xf numFmtId="9" fontId="18" fillId="10" borderId="4" xfId="0" applyNumberFormat="1" applyFont="1" applyFill="1" applyBorder="1" applyAlignment="1">
      <alignment horizontal="center" vertical="center"/>
    </xf>
    <xf numFmtId="9" fontId="15" fillId="10" borderId="0" xfId="0" applyNumberFormat="1" applyFont="1" applyFill="1" applyBorder="1" applyAlignment="1">
      <alignment horizontal="center" vertical="center"/>
    </xf>
    <xf numFmtId="9" fontId="15" fillId="10" borderId="11" xfId="0" applyNumberFormat="1" applyFont="1" applyFill="1" applyBorder="1" applyAlignment="1">
      <alignment horizontal="center" vertical="center"/>
    </xf>
    <xf numFmtId="167" fontId="12" fillId="10" borderId="0" xfId="0" applyNumberFormat="1" applyFont="1" applyFill="1" applyBorder="1" applyAlignment="1">
      <alignment horizontal="center" vertical="center"/>
    </xf>
    <xf numFmtId="167" fontId="12" fillId="11" borderId="0" xfId="0" applyNumberFormat="1" applyFont="1" applyFill="1" applyBorder="1" applyAlignment="1">
      <alignment horizontal="center" vertical="center"/>
    </xf>
    <xf numFmtId="167" fontId="12" fillId="10" borderId="4" xfId="0" applyNumberFormat="1" applyFont="1" applyFill="1" applyBorder="1" applyAlignment="1">
      <alignment horizontal="center" vertical="center"/>
    </xf>
    <xf numFmtId="168" fontId="9" fillId="10" borderId="7" xfId="2" applyNumberFormat="1" applyFont="1" applyFill="1" applyBorder="1" applyAlignment="1">
      <alignment horizontal="center" vertical="center"/>
    </xf>
    <xf numFmtId="168" fontId="9" fillId="10" borderId="0" xfId="2" applyNumberFormat="1" applyFont="1" applyFill="1" applyBorder="1" applyAlignment="1">
      <alignment horizontal="center" vertical="center"/>
    </xf>
    <xf numFmtId="168" fontId="9" fillId="10" borderId="9" xfId="2" applyNumberFormat="1" applyFont="1" applyFill="1" applyBorder="1" applyAlignment="1">
      <alignment horizontal="center" vertical="center"/>
    </xf>
    <xf numFmtId="168" fontId="9" fillId="10" borderId="4" xfId="2" applyNumberFormat="1" applyFont="1" applyFill="1" applyBorder="1" applyAlignment="1">
      <alignment horizontal="center" vertical="center"/>
    </xf>
    <xf numFmtId="168" fontId="12" fillId="10" borderId="0" xfId="0" applyNumberFormat="1" applyFont="1" applyFill="1" applyBorder="1" applyAlignment="1">
      <alignment horizontal="center" vertical="center"/>
    </xf>
    <xf numFmtId="168" fontId="12" fillId="10" borderId="11" xfId="0" applyNumberFormat="1" applyFont="1" applyFill="1" applyBorder="1" applyAlignment="1">
      <alignment horizontal="center" vertical="center"/>
    </xf>
    <xf numFmtId="167" fontId="12" fillId="11" borderId="0" xfId="0" applyNumberFormat="1" applyFont="1" applyFill="1" applyBorder="1" applyAlignment="1">
      <alignment horizontal="center" vertical="center"/>
    </xf>
    <xf numFmtId="167" fontId="12" fillId="11" borderId="11" xfId="0" applyNumberFormat="1" applyFont="1" applyFill="1" applyBorder="1" applyAlignment="1">
      <alignment horizontal="center" vertical="center"/>
    </xf>
    <xf numFmtId="167" fontId="12" fillId="10" borderId="4" xfId="0" applyNumberFormat="1" applyFont="1" applyFill="1" applyBorder="1" applyAlignment="1">
      <alignment horizontal="center" vertical="center"/>
    </xf>
    <xf numFmtId="167" fontId="12" fillId="10" borderId="12" xfId="0" applyNumberFormat="1" applyFont="1" applyFill="1" applyBorder="1" applyAlignment="1">
      <alignment horizontal="center" vertical="center"/>
    </xf>
    <xf numFmtId="167" fontId="15" fillId="11" borderId="0" xfId="0" applyNumberFormat="1" applyFont="1" applyFill="1" applyBorder="1" applyAlignment="1">
      <alignment horizontal="center" vertical="center"/>
    </xf>
    <xf numFmtId="167" fontId="15" fillId="11" borderId="11" xfId="0" applyNumberFormat="1" applyFont="1" applyFill="1" applyBorder="1" applyAlignment="1">
      <alignment horizontal="center" vertical="center"/>
    </xf>
    <xf numFmtId="167" fontId="15" fillId="10" borderId="4" xfId="0" applyNumberFormat="1" applyFont="1" applyFill="1" applyBorder="1" applyAlignment="1">
      <alignment horizontal="center" vertical="center"/>
    </xf>
    <xf numFmtId="167" fontId="15" fillId="10" borderId="12" xfId="0" applyNumberFormat="1" applyFont="1" applyFill="1" applyBorder="1" applyAlignment="1">
      <alignment horizontal="center" vertical="center"/>
    </xf>
    <xf numFmtId="167" fontId="12" fillId="11" borderId="15" xfId="0" applyNumberFormat="1" applyFont="1" applyFill="1" applyBorder="1" applyAlignment="1">
      <alignment horizontal="center" vertical="center"/>
    </xf>
    <xf numFmtId="167" fontId="12" fillId="11" borderId="4" xfId="0" applyNumberFormat="1" applyFont="1" applyFill="1" applyBorder="1" applyAlignment="1">
      <alignment horizontal="center" vertical="center"/>
    </xf>
    <xf numFmtId="167" fontId="12" fillId="11" borderId="12" xfId="0" applyNumberFormat="1" applyFont="1" applyFill="1" applyBorder="1" applyAlignment="1">
      <alignment horizontal="center" vertical="center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A1A1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por Plano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D̳ashboard!$B$13:$B$15</c:f>
              <c:strCache>
                <c:ptCount val="3"/>
                <c:pt idx="0">
                  <c:v>🟢 Ultimate</c:v>
                </c:pt>
                <c:pt idx="1">
                  <c:v>🔵 Standard</c:v>
                </c:pt>
                <c:pt idx="2">
                  <c:v>⚪ Core</c:v>
                </c:pt>
              </c:strCache>
            </c:strRef>
          </c:cat>
          <c:val>
            <c:numRef>
              <c:f>D̳ashboard!$C$13:$C$15</c:f>
              <c:numCache>
                <c:formatCode>General</c:formatCode>
                <c:ptCount val="3"/>
                <c:pt idx="0">
                  <c:v>98</c:v>
                </c:pt>
                <c:pt idx="1">
                  <c:v>96</c:v>
                </c:pt>
                <c:pt idx="2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BF-497B-A539-EC3694E2F4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1A1A1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 de Assinatura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D̳ashboard!$H$13:$H$15</c:f>
              <c:strCache>
                <c:ptCount val="3"/>
                <c:pt idx="0">
                  <c:v>📅 Monthly</c:v>
                </c:pt>
                <c:pt idx="1">
                  <c:v>📆 Quarterly</c:v>
                </c:pt>
                <c:pt idx="2">
                  <c:v>📅 Annual</c:v>
                </c:pt>
              </c:strCache>
            </c:strRef>
          </c:cat>
          <c:val>
            <c:numRef>
              <c:f>D̳ashboard!$I$13:$I$15</c:f>
              <c:numCache>
                <c:formatCode>General</c:formatCode>
                <c:ptCount val="3"/>
                <c:pt idx="0">
                  <c:v>139</c:v>
                </c:pt>
                <c:pt idx="1">
                  <c:v>85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B-4C2E-98EE-4996899E42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A1A1A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Novos Assinantes /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A1A1A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9BC848"/>
            </a:solidFill>
            <a:ln>
              <a:noFill/>
            </a:ln>
            <a:effectLst/>
          </c:spPr>
          <c:invertIfNegative val="0"/>
          <c:cat>
            <c:strRef>
              <c:f>D̳ashboard!$B$25:$M$25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D̳ashboard!$B$26:$M$26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30</c:v>
                </c:pt>
                <c:pt idx="9">
                  <c:v>31</c:v>
                </c:pt>
                <c:pt idx="10">
                  <c:v>30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7-4C42-B662-F90324AC9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9334335"/>
        <c:axId val="1249334815"/>
      </c:barChart>
      <c:catAx>
        <c:axId val="1249334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9334815"/>
        <c:crosses val="autoZero"/>
        <c:auto val="1"/>
        <c:lblAlgn val="ctr"/>
        <c:lblOffset val="100"/>
        <c:noMultiLvlLbl val="0"/>
      </c:catAx>
      <c:valAx>
        <c:axId val="124933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49334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9180" y="5410199"/>
          <a:ext cx="1551381" cy="75438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28</xdr:row>
      <xdr:rowOff>30480</xdr:rowOff>
    </xdr:from>
    <xdr:to>
      <xdr:col>6</xdr:col>
      <xdr:colOff>9526</xdr:colOff>
      <xdr:row>40</xdr:row>
      <xdr:rowOff>30480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DBFC1D9-EA4E-EBDA-6EF5-6B29FE25CB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</xdr:colOff>
      <xdr:row>28</xdr:row>
      <xdr:rowOff>30480</xdr:rowOff>
    </xdr:from>
    <xdr:to>
      <xdr:col>12</xdr:col>
      <xdr:colOff>17145</xdr:colOff>
      <xdr:row>40</xdr:row>
      <xdr:rowOff>30480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D56F739-9D04-A544-1AB4-C51F4486CE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26670</xdr:colOff>
      <xdr:row>28</xdr:row>
      <xdr:rowOff>30480</xdr:rowOff>
    </xdr:from>
    <xdr:to>
      <xdr:col>17</xdr:col>
      <xdr:colOff>36195</xdr:colOff>
      <xdr:row>40</xdr:row>
      <xdr:rowOff>30480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4B6033A-07C0-7750-ED95-BA2A4E902E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485775</xdr:colOff>
      <xdr:row>1</xdr:row>
      <xdr:rowOff>95250</xdr:rowOff>
    </xdr:from>
    <xdr:to>
      <xdr:col>5</xdr:col>
      <xdr:colOff>289560</xdr:colOff>
      <xdr:row>2</xdr:row>
      <xdr:rowOff>352425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EC5A4745-D6DE-4B2E-BD0F-BEC9D866550B}"/>
            </a:ext>
          </a:extLst>
        </xdr:cNvPr>
        <xdr:cNvSpPr/>
      </xdr:nvSpPr>
      <xdr:spPr>
        <a:xfrm>
          <a:off x="3333750" y="219075"/>
          <a:ext cx="689610" cy="695325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12</xdr:col>
      <xdr:colOff>657225</xdr:colOff>
      <xdr:row>1</xdr:row>
      <xdr:rowOff>104775</xdr:rowOff>
    </xdr:from>
    <xdr:to>
      <xdr:col>13</xdr:col>
      <xdr:colOff>461010</xdr:colOff>
      <xdr:row>2</xdr:row>
      <xdr:rowOff>361950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8394A24-9DCC-43AC-98CF-6CD84410F544}"/>
            </a:ext>
          </a:extLst>
        </xdr:cNvPr>
        <xdr:cNvSpPr/>
      </xdr:nvSpPr>
      <xdr:spPr>
        <a:xfrm>
          <a:off x="10591800" y="228600"/>
          <a:ext cx="689610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31" sqref="D3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1</v>
      </c>
      <c r="C5" t="s">
        <v>2</v>
      </c>
      <c r="E5" s="7" t="s">
        <v>3</v>
      </c>
      <c r="F5" t="s">
        <v>4</v>
      </c>
    </row>
    <row r="6" spans="2:16" x14ac:dyDescent="0.25">
      <c r="B6" s="4" t="s">
        <v>5</v>
      </c>
      <c r="C6" t="s">
        <v>2</v>
      </c>
    </row>
    <row r="7" spans="2:16" x14ac:dyDescent="0.25">
      <c r="B7" s="5" t="s">
        <v>6</v>
      </c>
      <c r="C7" t="s">
        <v>7</v>
      </c>
    </row>
    <row r="8" spans="2:16" x14ac:dyDescent="0.25">
      <c r="B8" s="6" t="s">
        <v>8</v>
      </c>
      <c r="C8" t="s">
        <v>7</v>
      </c>
    </row>
    <row r="12" spans="2:16" ht="20.25" thickBot="1" x14ac:dyDescent="0.3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I2" sqref="I2:I294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25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BC252"/>
  <sheetViews>
    <sheetView showGridLines="0" workbookViewId="0">
      <selection activeCell="C2" sqref="C2:C13"/>
    </sheetView>
  </sheetViews>
  <sheetFormatPr defaultRowHeight="15" x14ac:dyDescent="0.25"/>
  <cols>
    <col min="3" max="3" width="18.42578125" bestFit="1" customWidth="1"/>
    <col min="4" max="4" width="30.570312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1:55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 spans="1:55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</row>
    <row r="3" spans="1:55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</row>
    <row r="4" spans="1:55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</row>
    <row r="5" spans="1:55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</row>
    <row r="6" spans="1:55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</row>
    <row r="7" spans="1:55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</row>
    <row r="8" spans="1:55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</row>
    <row r="9" spans="1:55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</row>
    <row r="10" spans="1:55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</row>
    <row r="11" spans="1:55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</row>
    <row r="12" spans="1:55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</row>
    <row r="13" spans="1:55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</row>
    <row r="14" spans="1:55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</row>
    <row r="15" spans="1:55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</row>
    <row r="16" spans="1:55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</row>
    <row r="17" spans="1:55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</row>
    <row r="18" spans="1:55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</row>
    <row r="19" spans="1:55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</row>
    <row r="20" spans="1:55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</row>
    <row r="21" spans="1:55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</row>
    <row r="22" spans="1:55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</row>
    <row r="23" spans="1:55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</row>
    <row r="24" spans="1:55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</row>
    <row r="25" spans="1:55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</row>
    <row r="26" spans="1:55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</row>
    <row r="27" spans="1:55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</row>
    <row r="28" spans="1:55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</row>
    <row r="29" spans="1:55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</row>
    <row r="30" spans="1:55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</row>
    <row r="31" spans="1:55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</row>
    <row r="32" spans="1:55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</row>
    <row r="33" spans="1:55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</row>
    <row r="34" spans="1:55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</row>
    <row r="35" spans="1:55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</row>
    <row r="36" spans="1:55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</row>
    <row r="37" spans="1:55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</row>
    <row r="38" spans="1:55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</row>
    <row r="39" spans="1:55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</row>
    <row r="40" spans="1:55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</row>
    <row r="41" spans="1:55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</row>
    <row r="42" spans="1:55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</row>
    <row r="43" spans="1:55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</row>
    <row r="44" spans="1:5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</row>
    <row r="45" spans="1:55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</row>
    <row r="46" spans="1:55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</row>
    <row r="47" spans="1:55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</row>
    <row r="48" spans="1:5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</row>
    <row r="49" spans="1:55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</row>
    <row r="50" spans="1:55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</row>
    <row r="51" spans="1:55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</row>
    <row r="52" spans="1:55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</row>
    <row r="53" spans="1:55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</row>
    <row r="54" spans="1:55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</row>
    <row r="55" spans="1:55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</row>
    <row r="56" spans="1:5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</row>
    <row r="57" spans="1:55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</row>
    <row r="58" spans="1:55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</row>
    <row r="59" spans="1:55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</row>
    <row r="60" spans="1:55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</row>
    <row r="61" spans="1:55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</row>
    <row r="62" spans="1:55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</row>
    <row r="63" spans="1:55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</row>
    <row r="64" spans="1:55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</row>
    <row r="65" spans="1:55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</row>
    <row r="66" spans="1:55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</row>
    <row r="67" spans="1:55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</row>
    <row r="68" spans="1:55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</row>
    <row r="69" spans="1:55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</row>
    <row r="70" spans="1:55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</row>
    <row r="71" spans="1:55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</row>
    <row r="72" spans="1:55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</row>
    <row r="73" spans="1:55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</row>
    <row r="74" spans="1:55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</row>
    <row r="75" spans="1:55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</row>
    <row r="76" spans="1:55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</row>
    <row r="77" spans="1:55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</row>
    <row r="78" spans="1:55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</row>
    <row r="79" spans="1:55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</row>
    <row r="80" spans="1:55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</row>
    <row r="81" spans="1:55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</row>
    <row r="82" spans="1:55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</row>
    <row r="83" spans="1:55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</row>
    <row r="84" spans="1:55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</row>
    <row r="85" spans="1:55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</row>
    <row r="86" spans="1:55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</row>
    <row r="87" spans="1:55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</row>
    <row r="88" spans="1:55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</row>
    <row r="89" spans="1:55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</row>
    <row r="90" spans="1:55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</row>
    <row r="91" spans="1:55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</row>
    <row r="92" spans="1:55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</row>
    <row r="93" spans="1:55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</row>
    <row r="94" spans="1:55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</row>
    <row r="95" spans="1:55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</row>
    <row r="96" spans="1:55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</row>
    <row r="97" spans="1:55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</row>
    <row r="98" spans="1:55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</row>
    <row r="99" spans="1:55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</row>
    <row r="100" spans="1:55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</row>
    <row r="101" spans="1:55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</row>
    <row r="102" spans="1:55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</row>
    <row r="103" spans="1:55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</row>
    <row r="104" spans="1:55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</row>
    <row r="105" spans="1:55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</row>
    <row r="106" spans="1:55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</row>
    <row r="107" spans="1:55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</row>
    <row r="108" spans="1:55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</row>
    <row r="109" spans="1:55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</row>
    <row r="110" spans="1:55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</row>
    <row r="111" spans="1:55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</row>
    <row r="112" spans="1:55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</row>
    <row r="113" spans="1:55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</row>
    <row r="114" spans="1:55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</row>
    <row r="115" spans="1:55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</row>
    <row r="116" spans="1:55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</row>
    <row r="117" spans="1:55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</row>
    <row r="118" spans="1:55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</row>
    <row r="119" spans="1:55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</row>
    <row r="120" spans="1:55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</row>
    <row r="121" spans="1:55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</row>
    <row r="122" spans="1:55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</row>
    <row r="123" spans="1:55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</row>
    <row r="124" spans="1:55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</row>
    <row r="125" spans="1:55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</row>
    <row r="126" spans="1:55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</row>
    <row r="127" spans="1:55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</row>
    <row r="128" spans="1:55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</row>
    <row r="129" spans="1:55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</row>
    <row r="130" spans="1:55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</row>
    <row r="131" spans="1:55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</row>
    <row r="132" spans="1:55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</row>
    <row r="133" spans="1:55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</row>
    <row r="134" spans="1:55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</row>
    <row r="135" spans="1:55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</row>
    <row r="136" spans="1:55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</row>
    <row r="137" spans="1:55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</row>
    <row r="138" spans="1:55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</row>
    <row r="139" spans="1:55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</row>
    <row r="140" spans="1:55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</row>
    <row r="141" spans="1:55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</row>
    <row r="142" spans="1:55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</row>
    <row r="143" spans="1:55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</row>
    <row r="144" spans="1:55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</row>
    <row r="145" spans="1:55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</row>
    <row r="146" spans="1:55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</row>
    <row r="147" spans="1:55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</row>
    <row r="148" spans="1:55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</row>
    <row r="149" spans="1:55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</row>
    <row r="150" spans="1:55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</row>
    <row r="151" spans="1:55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</row>
    <row r="152" spans="1:55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</row>
    <row r="153" spans="1:55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</row>
    <row r="154" spans="1:55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</row>
    <row r="155" spans="1:55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</row>
    <row r="156" spans="1:55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</row>
    <row r="157" spans="1:55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</row>
    <row r="158" spans="1:55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</row>
    <row r="159" spans="1:55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</row>
    <row r="160" spans="1:55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</row>
    <row r="161" spans="1:55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</row>
    <row r="162" spans="1:55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</row>
    <row r="163" spans="1:55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</row>
    <row r="164" spans="1:55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</row>
    <row r="165" spans="1:55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</row>
    <row r="166" spans="1:55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</row>
    <row r="167" spans="1:55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</row>
    <row r="168" spans="1:55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</row>
    <row r="169" spans="1:55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</row>
    <row r="170" spans="1:55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</row>
    <row r="171" spans="1:55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</row>
    <row r="172" spans="1:55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</row>
    <row r="173" spans="1:55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</row>
    <row r="174" spans="1:55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</row>
    <row r="175" spans="1:55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</row>
    <row r="176" spans="1:55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</row>
    <row r="177" spans="1:55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</row>
    <row r="178" spans="1:55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</row>
    <row r="179" spans="1:55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</row>
    <row r="180" spans="1:55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</row>
    <row r="181" spans="1:55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</row>
    <row r="182" spans="1:55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</row>
    <row r="183" spans="1:55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</row>
    <row r="184" spans="1:55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</row>
    <row r="185" spans="1:55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</row>
    <row r="186" spans="1:55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</row>
    <row r="187" spans="1:55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</row>
    <row r="188" spans="1:55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</row>
    <row r="189" spans="1:55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</row>
    <row r="190" spans="1:55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</row>
    <row r="191" spans="1:55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</row>
    <row r="192" spans="1:55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</row>
    <row r="193" spans="1:55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</row>
    <row r="194" spans="1:55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</row>
    <row r="195" spans="1:55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</row>
    <row r="196" spans="1:55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</row>
    <row r="197" spans="1:55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</row>
    <row r="198" spans="1:55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</row>
    <row r="199" spans="1:55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</row>
    <row r="200" spans="1:55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</row>
    <row r="201" spans="1:55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</row>
    <row r="202" spans="1:55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</row>
    <row r="203" spans="1:55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</row>
    <row r="204" spans="1:55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</row>
    <row r="205" spans="1:55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</row>
    <row r="206" spans="1:55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</row>
    <row r="207" spans="1:55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</row>
    <row r="208" spans="1:55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</row>
    <row r="209" spans="1:55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</row>
    <row r="210" spans="1:55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</row>
    <row r="211" spans="1:55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</row>
    <row r="212" spans="1:55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</row>
    <row r="213" spans="1:55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</row>
    <row r="214" spans="1:55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</row>
    <row r="215" spans="1:55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</row>
    <row r="216" spans="1:55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</row>
    <row r="217" spans="1:55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</row>
    <row r="218" spans="1:55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</row>
    <row r="219" spans="1:55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</row>
    <row r="220" spans="1:55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</row>
    <row r="221" spans="1:55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</row>
    <row r="222" spans="1:55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</row>
    <row r="223" spans="1:55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</row>
    <row r="224" spans="1:55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</row>
    <row r="225" spans="1:55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</row>
    <row r="226" spans="1:55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</row>
    <row r="227" spans="1:55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</row>
    <row r="228" spans="1:55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</row>
    <row r="229" spans="1:55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</row>
    <row r="230" spans="1:55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</row>
    <row r="231" spans="1:55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</row>
    <row r="232" spans="1:55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</row>
    <row r="233" spans="1:55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</row>
    <row r="234" spans="1:55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</row>
    <row r="235" spans="1:55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</row>
    <row r="236" spans="1:55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</row>
    <row r="237" spans="1:55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</row>
    <row r="238" spans="1:55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</row>
    <row r="239" spans="1:55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</row>
    <row r="240" spans="1:55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</row>
    <row r="241" spans="1:55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</row>
    <row r="242" spans="1:55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</row>
    <row r="243" spans="1:55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</row>
    <row r="244" spans="1:55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</row>
    <row r="245" spans="1:55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</row>
    <row r="246" spans="1:55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</row>
    <row r="247" spans="1:55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</row>
    <row r="248" spans="1:55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</row>
    <row r="249" spans="1:55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</row>
    <row r="250" spans="1:55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</row>
    <row r="251" spans="1:55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</row>
    <row r="252" spans="1:55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tabColor rgb="FF22C55E"/>
  </sheetPr>
  <dimension ref="A1:R60"/>
  <sheetViews>
    <sheetView showGridLines="0" tabSelected="1" zoomScale="80" zoomScaleNormal="80" workbookViewId="0">
      <pane ySplit="5" topLeftCell="A6" activePane="bottomLeft" state="frozen"/>
      <selection pane="bottomLeft" activeCell="N6" sqref="N6:Q6"/>
    </sheetView>
  </sheetViews>
  <sheetFormatPr defaultRowHeight="15" x14ac:dyDescent="0.25"/>
  <cols>
    <col min="1" max="1" width="2.85546875" customWidth="1"/>
    <col min="2" max="17" width="13.28515625" customWidth="1"/>
    <col min="18" max="18" width="2.85546875" customWidth="1"/>
  </cols>
  <sheetData>
    <row r="1" spans="1:18" ht="9.9499999999999993" customHeight="1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35.1" customHeight="1" x14ac:dyDescent="0.25">
      <c r="A2" s="7"/>
      <c r="B2" s="13" t="s">
        <v>350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7"/>
    </row>
    <row r="3" spans="1:18" ht="35.1" customHeight="1" thickBot="1" x14ac:dyDescent="0.3">
      <c r="A3" s="7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7"/>
    </row>
    <row r="4" spans="1:18" ht="15" customHeight="1" thickTop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24.9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ht="24.95" customHeight="1" x14ac:dyDescent="0.25">
      <c r="A6" s="7"/>
      <c r="B6" s="22" t="s">
        <v>313</v>
      </c>
      <c r="C6" s="22"/>
      <c r="D6" s="22"/>
      <c r="E6" s="22"/>
      <c r="F6" s="25" t="s">
        <v>314</v>
      </c>
      <c r="G6" s="26"/>
      <c r="H6" s="26"/>
      <c r="I6" s="26"/>
      <c r="J6" s="30" t="s">
        <v>315</v>
      </c>
      <c r="K6" s="31"/>
      <c r="L6" s="31"/>
      <c r="M6" s="31"/>
      <c r="N6" s="33" t="s">
        <v>316</v>
      </c>
      <c r="O6" s="34"/>
      <c r="P6" s="34"/>
      <c r="Q6" s="35"/>
      <c r="R6" s="7"/>
    </row>
    <row r="7" spans="1:18" ht="39.950000000000003" customHeight="1" x14ac:dyDescent="0.25">
      <c r="A7" s="7"/>
      <c r="B7" s="16">
        <f>COUNTA(B̳ases!A:A)-1</f>
        <v>295</v>
      </c>
      <c r="C7" s="15"/>
      <c r="D7" s="15"/>
      <c r="E7" s="15"/>
      <c r="F7" s="75" t="str">
        <f>TEXT(SUMIF(B̳ases!C:C,"*",B̳ases!M:M),"R$ #.##0,00")</f>
        <v>R$ 7.633,00</v>
      </c>
      <c r="G7" s="76"/>
      <c r="H7" s="76"/>
      <c r="I7" s="76"/>
      <c r="J7" s="29">
        <f>COUNTIF(B̳ases!H:H,"Yes")</f>
        <v>98</v>
      </c>
      <c r="K7" s="15"/>
      <c r="L7" s="15"/>
      <c r="M7" s="15"/>
      <c r="N7" s="29">
        <f>COUNTIF(B̳ases!J:J,"Yes")</f>
        <v>194</v>
      </c>
      <c r="O7" s="15"/>
      <c r="P7" s="15"/>
      <c r="Q7" s="27"/>
      <c r="R7" s="7"/>
    </row>
    <row r="8" spans="1:18" ht="39.950000000000003" customHeight="1" x14ac:dyDescent="0.25">
      <c r="A8" s="7"/>
      <c r="B8" s="23"/>
      <c r="C8" s="24"/>
      <c r="D8" s="24"/>
      <c r="E8" s="24"/>
      <c r="F8" s="77"/>
      <c r="G8" s="78"/>
      <c r="H8" s="78"/>
      <c r="I8" s="78"/>
      <c r="J8" s="32"/>
      <c r="K8" s="24"/>
      <c r="L8" s="24"/>
      <c r="M8" s="24"/>
      <c r="N8" s="32"/>
      <c r="O8" s="24"/>
      <c r="P8" s="24"/>
      <c r="Q8" s="28"/>
      <c r="R8" s="7"/>
    </row>
    <row r="9" spans="1:18" ht="9.9499999999999993" customHeigh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 ht="20.100000000000001" customHeigh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ht="30" customHeight="1" x14ac:dyDescent="0.25">
      <c r="A11" s="7"/>
      <c r="B11" s="37" t="s">
        <v>317</v>
      </c>
      <c r="C11" s="36"/>
      <c r="D11" s="36"/>
      <c r="E11" s="36"/>
      <c r="F11" s="41"/>
      <c r="G11" s="7"/>
      <c r="H11" s="46" t="s">
        <v>320</v>
      </c>
      <c r="I11" s="45"/>
      <c r="J11" s="45"/>
      <c r="K11" s="45"/>
      <c r="L11" s="47"/>
      <c r="M11" s="7"/>
      <c r="N11" s="51" t="s">
        <v>329</v>
      </c>
      <c r="O11" s="49"/>
      <c r="P11" s="49"/>
      <c r="Q11" s="54"/>
      <c r="R11" s="7"/>
    </row>
    <row r="12" spans="1:18" ht="24.95" customHeight="1" x14ac:dyDescent="0.25">
      <c r="A12" s="7"/>
      <c r="B12" s="38" t="s">
        <v>318</v>
      </c>
      <c r="C12" s="17" t="s">
        <v>326</v>
      </c>
      <c r="D12" s="17" t="s">
        <v>319</v>
      </c>
      <c r="E12" s="17" t="s">
        <v>322</v>
      </c>
      <c r="F12" s="42"/>
      <c r="G12" s="7"/>
      <c r="H12" s="38" t="s">
        <v>321</v>
      </c>
      <c r="I12" s="17" t="s">
        <v>326</v>
      </c>
      <c r="J12" s="17" t="s">
        <v>322</v>
      </c>
      <c r="K12" s="17"/>
      <c r="L12" s="42"/>
      <c r="M12" s="7"/>
      <c r="N12" s="38" t="s">
        <v>330</v>
      </c>
      <c r="O12" s="17"/>
      <c r="P12" s="17" t="s">
        <v>331</v>
      </c>
      <c r="Q12" s="42"/>
      <c r="R12" s="7"/>
    </row>
    <row r="13" spans="1:18" ht="24.95" customHeight="1" x14ac:dyDescent="0.25">
      <c r="A13" s="7"/>
      <c r="B13" s="39" t="s">
        <v>351</v>
      </c>
      <c r="C13" s="55">
        <f>COUNTIF(B̳ases!C:C,"Ultimate")</f>
        <v>98</v>
      </c>
      <c r="D13" s="72" t="str">
        <f>TEXT(SUMIF(B̳ases!C:C,"Ultimate",B̳ases!M:M),"R$ #.##0")</f>
        <v>R$ 5.388</v>
      </c>
      <c r="E13" s="67">
        <f>C13/(COUNTA(B̳ases!A:A)-1)</f>
        <v>0.33220338983050846</v>
      </c>
      <c r="F13" s="43"/>
      <c r="G13" s="7"/>
      <c r="H13" s="39" t="s">
        <v>354</v>
      </c>
      <c r="I13" s="55">
        <f>COUNTIF(B̳ases!G:G,"Monthly")</f>
        <v>139</v>
      </c>
      <c r="J13" s="67">
        <f>I13/(COUNTA(B̳ases!A:A)-1)</f>
        <v>0.47118644067796611</v>
      </c>
      <c r="K13" s="18"/>
      <c r="L13" s="43"/>
      <c r="M13" s="7"/>
      <c r="N13" s="52" t="s">
        <v>332</v>
      </c>
      <c r="O13" s="48"/>
      <c r="P13" s="79" t="str">
        <f>TEXT(AVERAGE(B̳ases!M:M),"R$ #.##0,00")</f>
        <v>R$ 25,87</v>
      </c>
      <c r="Q13" s="80"/>
      <c r="R13" s="7"/>
    </row>
    <row r="14" spans="1:18" ht="24.95" customHeight="1" x14ac:dyDescent="0.25">
      <c r="A14" s="7"/>
      <c r="B14" s="61" t="s">
        <v>352</v>
      </c>
      <c r="C14" s="66">
        <f>COUNTIF(B̳ases!C:C,"Standard")</f>
        <v>96</v>
      </c>
      <c r="D14" s="73" t="str">
        <f>TEXT(SUMIF(B̳ases!C:C,"Standard",B̳ases!M:M),"R$ #.##0")</f>
        <v>R$ 1.801</v>
      </c>
      <c r="E14" s="68">
        <f>C14/(COUNTA(B̳ases!A:A)-1)</f>
        <v>0.3254237288135593</v>
      </c>
      <c r="F14" s="63"/>
      <c r="G14" s="7"/>
      <c r="H14" s="61" t="s">
        <v>355</v>
      </c>
      <c r="I14" s="66">
        <f>COUNTIF(B̳ases!G:G,"Quarterly")</f>
        <v>85</v>
      </c>
      <c r="J14" s="68">
        <f>I14/(COUNTA(B̳ases!A:A)-1)</f>
        <v>0.28813559322033899</v>
      </c>
      <c r="K14" s="62"/>
      <c r="L14" s="63"/>
      <c r="M14" s="7"/>
      <c r="N14" s="64" t="s">
        <v>333</v>
      </c>
      <c r="O14" s="65"/>
      <c r="P14" s="81" t="str">
        <f>TEXT(SUMIF(B̳ases!H:H,"Yes",B̳ases!I:I),"R$ #.##0")</f>
        <v>R$ 2.940</v>
      </c>
      <c r="Q14" s="82"/>
      <c r="R14" s="7"/>
    </row>
    <row r="15" spans="1:18" ht="24.95" customHeight="1" x14ac:dyDescent="0.25">
      <c r="A15" s="7"/>
      <c r="B15" s="40" t="s">
        <v>353</v>
      </c>
      <c r="C15" s="57">
        <f>COUNTIF(B̳ases!C:C,"Core")</f>
        <v>101</v>
      </c>
      <c r="D15" s="74" t="str">
        <f>TEXT(SUMIF(B̳ases!C:C,"Core",B̳ases!M:M),"R$ #.##0")</f>
        <v>R$ 444</v>
      </c>
      <c r="E15" s="69">
        <f>C15/(COUNTA(B̳ases!A:A)-1)</f>
        <v>0.34237288135593219</v>
      </c>
      <c r="F15" s="44"/>
      <c r="G15" s="7"/>
      <c r="H15" s="40" t="s">
        <v>356</v>
      </c>
      <c r="I15" s="57">
        <f>COUNTIF(B̳ases!G:G,"Annual")</f>
        <v>71</v>
      </c>
      <c r="J15" s="69">
        <f>I15/(COUNTA(B̳ases!A:A)-1)</f>
        <v>0.24067796610169492</v>
      </c>
      <c r="K15" s="19"/>
      <c r="L15" s="44"/>
      <c r="M15" s="7"/>
      <c r="N15" s="53" t="s">
        <v>334</v>
      </c>
      <c r="O15" s="50"/>
      <c r="P15" s="83" t="str">
        <f>TEXT(SUMIF(B̳ases!J:J,"Yes",B̳ases!K:K),"R$ #.##0")</f>
        <v>R$ 3.880</v>
      </c>
      <c r="Q15" s="84"/>
      <c r="R15" s="7"/>
    </row>
    <row r="16" spans="1:18" ht="9.9499999999999993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ht="15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18" spans="1:18" ht="30" customHeight="1" x14ac:dyDescent="0.25">
      <c r="A18" s="7"/>
      <c r="B18" s="58" t="s">
        <v>324</v>
      </c>
      <c r="C18" s="56"/>
      <c r="D18" s="56"/>
      <c r="E18" s="60"/>
      <c r="F18" s="7"/>
      <c r="G18" s="7"/>
      <c r="H18" s="37" t="s">
        <v>357</v>
      </c>
      <c r="I18" s="36"/>
      <c r="J18" s="36"/>
      <c r="K18" s="36"/>
      <c r="L18" s="41"/>
      <c r="M18" s="7"/>
      <c r="N18" s="46" t="s">
        <v>349</v>
      </c>
      <c r="O18" s="45"/>
      <c r="P18" s="45"/>
      <c r="Q18" s="47"/>
      <c r="R18" s="7"/>
    </row>
    <row r="19" spans="1:18" ht="24.95" customHeight="1" x14ac:dyDescent="0.25">
      <c r="A19" s="7"/>
      <c r="B19" s="38" t="s">
        <v>325</v>
      </c>
      <c r="C19" s="17" t="s">
        <v>326</v>
      </c>
      <c r="D19" s="17" t="s">
        <v>322</v>
      </c>
      <c r="E19" s="42"/>
      <c r="F19" s="7"/>
      <c r="G19" s="7"/>
      <c r="H19" s="38" t="s">
        <v>358</v>
      </c>
      <c r="I19" s="17"/>
      <c r="J19" s="17" t="s">
        <v>326</v>
      </c>
      <c r="K19" s="17" t="s">
        <v>322</v>
      </c>
      <c r="L19" s="42"/>
      <c r="M19" s="7"/>
      <c r="N19" s="38" t="s">
        <v>362</v>
      </c>
      <c r="O19" s="17"/>
      <c r="P19" s="17" t="s">
        <v>331</v>
      </c>
      <c r="Q19" s="42"/>
      <c r="R19" s="7"/>
    </row>
    <row r="20" spans="1:18" ht="24.95" customHeight="1" x14ac:dyDescent="0.25">
      <c r="A20" s="7"/>
      <c r="B20" s="39" t="s">
        <v>327</v>
      </c>
      <c r="C20" s="55">
        <f>COUNTIF(B̳ases!E:E,"Yes")</f>
        <v>148</v>
      </c>
      <c r="D20" s="67">
        <f>C20/(COUNTA(B̳ases!A:A)-1)</f>
        <v>0.50169491525423726</v>
      </c>
      <c r="E20" s="43"/>
      <c r="F20" s="7"/>
      <c r="G20" s="7"/>
      <c r="H20" s="52" t="s">
        <v>359</v>
      </c>
      <c r="I20" s="48"/>
      <c r="J20" s="55">
        <f>COUNTIFS(B̳ases!H:H,"Yes",B̳ases!J:J,"Yes")</f>
        <v>98</v>
      </c>
      <c r="K20" s="67">
        <f>J20/(COUNTA(B̳ases!A:A)-1)</f>
        <v>0.33220338983050846</v>
      </c>
      <c r="L20" s="43"/>
      <c r="M20" s="7"/>
      <c r="N20" s="52" t="s">
        <v>363</v>
      </c>
      <c r="O20" s="48"/>
      <c r="P20" s="70">
        <f>COUNTIF(B̳ases!C:C,"Ultimate")/(COUNTA(B̳ases!A:A)-1)</f>
        <v>0.33220338983050846</v>
      </c>
      <c r="Q20" s="71"/>
      <c r="R20" s="7"/>
    </row>
    <row r="21" spans="1:18" ht="24.95" customHeight="1" x14ac:dyDescent="0.25">
      <c r="A21" s="7"/>
      <c r="B21" s="61" t="s">
        <v>328</v>
      </c>
      <c r="C21" s="66">
        <f>COUNTIF(B̳ases!E:E,"No")</f>
        <v>147</v>
      </c>
      <c r="D21" s="68">
        <f>C21/(COUNTA(B̳ases!A:A)-1)</f>
        <v>0.49830508474576274</v>
      </c>
      <c r="E21" s="63"/>
      <c r="F21" s="7"/>
      <c r="G21" s="7"/>
      <c r="H21" s="64" t="s">
        <v>360</v>
      </c>
      <c r="I21" s="65"/>
      <c r="J21" s="66">
        <f>COUNTIFS(B̳ases!H:H,"Yes",B̳ases!J:J,"No")</f>
        <v>0</v>
      </c>
      <c r="K21" s="68">
        <f>J21/(COUNTA(B̳ases!A:A)-1)</f>
        <v>0</v>
      </c>
      <c r="L21" s="63"/>
      <c r="M21" s="7"/>
      <c r="N21" s="64" t="s">
        <v>364</v>
      </c>
      <c r="O21" s="65"/>
      <c r="P21" s="85" t="str">
        <f>TEXT(MAX(B̳ases!M:M),"R$ #.##0")</f>
        <v>R$ 62</v>
      </c>
      <c r="Q21" s="86"/>
      <c r="R21" s="7"/>
    </row>
    <row r="22" spans="1:18" ht="24.95" customHeight="1" x14ac:dyDescent="0.25">
      <c r="A22" s="7"/>
      <c r="B22" s="59" t="s">
        <v>323</v>
      </c>
      <c r="C22" s="57">
        <f>C20+C21</f>
        <v>295</v>
      </c>
      <c r="D22" s="19"/>
      <c r="E22" s="44"/>
      <c r="F22" s="7"/>
      <c r="G22" s="7"/>
      <c r="H22" s="53" t="s">
        <v>361</v>
      </c>
      <c r="I22" s="50"/>
      <c r="J22" s="57">
        <f>COUNTIFS(B̳ases!H:H,"No",B̳ases!J:J,"Yes")</f>
        <v>96</v>
      </c>
      <c r="K22" s="69">
        <f>J22/(COUNTA(B̳ases!A:A)-1)</f>
        <v>0.3254237288135593</v>
      </c>
      <c r="L22" s="44"/>
      <c r="M22" s="7"/>
      <c r="N22" s="53" t="s">
        <v>335</v>
      </c>
      <c r="O22" s="50"/>
      <c r="P22" s="87" t="str">
        <f>TEXT(SUM(B̳ases!L:L),"R$ #.##0")</f>
        <v>R$ 2.122</v>
      </c>
      <c r="Q22" s="88"/>
      <c r="R22" s="7"/>
    </row>
    <row r="23" spans="1:18" ht="15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18" ht="30" customHeight="1" x14ac:dyDescent="0.25">
      <c r="A24" s="7"/>
      <c r="B24" s="37" t="s">
        <v>365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41"/>
      <c r="N24" s="7"/>
      <c r="O24" s="7"/>
      <c r="P24" s="7"/>
      <c r="Q24" s="7"/>
      <c r="R24" s="7"/>
    </row>
    <row r="25" spans="1:18" ht="24.95" customHeight="1" x14ac:dyDescent="0.25">
      <c r="A25" s="7"/>
      <c r="B25" s="38" t="s">
        <v>336</v>
      </c>
      <c r="C25" s="17" t="s">
        <v>337</v>
      </c>
      <c r="D25" s="17" t="s">
        <v>338</v>
      </c>
      <c r="E25" s="17" t="s">
        <v>339</v>
      </c>
      <c r="F25" s="17" t="s">
        <v>340</v>
      </c>
      <c r="G25" s="17" t="s">
        <v>341</v>
      </c>
      <c r="H25" s="17" t="s">
        <v>342</v>
      </c>
      <c r="I25" s="17" t="s">
        <v>343</v>
      </c>
      <c r="J25" s="17" t="s">
        <v>344</v>
      </c>
      <c r="K25" s="17" t="s">
        <v>345</v>
      </c>
      <c r="L25" s="17" t="s">
        <v>346</v>
      </c>
      <c r="M25" s="42" t="s">
        <v>347</v>
      </c>
      <c r="N25" s="7"/>
      <c r="O25" s="7"/>
      <c r="P25" s="7"/>
      <c r="Q25" s="7"/>
      <c r="R25" s="7"/>
    </row>
    <row r="26" spans="1:18" ht="21.95" customHeight="1" x14ac:dyDescent="0.25">
      <c r="A26" s="20" t="s">
        <v>348</v>
      </c>
      <c r="B26" s="39" cm="1">
        <f t="array" ref="B26">SUMPRODUCT((MONTH(B̳ases!D2:D296)=1)*(YEAR(B̳ases!D2:D296)=2024)*1)</f>
        <v>2</v>
      </c>
      <c r="C26" s="18" cm="1">
        <f t="array" ref="C26">SUMPRODUCT((MONTH(B̳ases!D2:D296)=2)*(YEAR(B̳ases!D2:D296)=2024)*1)</f>
        <v>2</v>
      </c>
      <c r="D26" s="18" cm="1">
        <f t="array" ref="D26">SUMPRODUCT((MONTH(B̳ases!D2:D296)=3)*(YEAR(B̳ases!D2:D296)=2024)*1)</f>
        <v>31</v>
      </c>
      <c r="E26" s="18" cm="1">
        <f t="array" ref="E26">SUMPRODUCT((MONTH(B̳ases!D2:D296)=4)*(YEAR(B̳ases!D2:D296)=2024)*1)</f>
        <v>30</v>
      </c>
      <c r="F26" s="18" cm="1">
        <f t="array" ref="F26">SUMPRODUCT((MONTH(B̳ases!D2:D296)=5)*(YEAR(B̳ases!D2:D296)=2024)*1)</f>
        <v>31</v>
      </c>
      <c r="G26" s="18" cm="1">
        <f t="array" ref="G26">SUMPRODUCT((MONTH(B̳ases!D2:D296)=6)*(YEAR(B̳ases!D2:D296)=2024)*1)</f>
        <v>30</v>
      </c>
      <c r="H26" s="18" cm="1">
        <f t="array" ref="H26">SUMPRODUCT((MONTH(B̳ases!D2:D296)=7)*(YEAR(B̳ases!D2:D296)=2024)*1)</f>
        <v>31</v>
      </c>
      <c r="I26" s="18" cm="1">
        <f t="array" ref="I26">SUMPRODUCT((MONTH(B̳ases!D2:D296)=8)*(YEAR(B̳ases!D2:D296)=2024)*1)</f>
        <v>31</v>
      </c>
      <c r="J26" s="18" cm="1">
        <f t="array" ref="J26">SUMPRODUCT((MONTH(B̳ases!D2:D296)=9)*(YEAR(B̳ases!D2:D296)=2024)*1)</f>
        <v>30</v>
      </c>
      <c r="K26" s="18" cm="1">
        <f t="array" ref="K26">SUMPRODUCT((MONTH(B̳ases!D2:D296)=10)*(YEAR(B̳ases!D2:D296)=2024)*1)</f>
        <v>31</v>
      </c>
      <c r="L26" s="18" cm="1">
        <f t="array" ref="L26">SUMPRODUCT((MONTH(B̳ases!D2:D296)=11)*(YEAR(B̳ases!D2:D296)=2024)*1)</f>
        <v>30</v>
      </c>
      <c r="M26" s="43" cm="1">
        <f t="array" ref="M26">SUMPRODUCT((MONTH(B̳ases!D2:D296)=12)*(YEAR(B̳ases!D2:D296)=2024)*1)</f>
        <v>16</v>
      </c>
      <c r="N26" s="7"/>
      <c r="O26" s="7"/>
      <c r="P26" s="7"/>
      <c r="Q26" s="7"/>
      <c r="R26" s="7"/>
    </row>
    <row r="27" spans="1:18" ht="21.95" customHeight="1" x14ac:dyDescent="0.25">
      <c r="A27" s="20" t="s">
        <v>319</v>
      </c>
      <c r="B27" s="89" t="str">
        <f>TEXT(SUMIFS(B̳ases!M:M,B̳ases!D:D,"&gt;="&amp;DATE(2024,1,1),B̳ases!D:D,"&lt;"&amp;DATE(2024,2,1)),"R$ #.##0")</f>
        <v>R$ 65</v>
      </c>
      <c r="C27" s="90" t="str">
        <f>TEXT(SUMIFS(B̳ases!M:M,B̳ases!D:D,"&gt;="&amp;DATE(2024,2,1),B̳ases!D:D,"&lt;"&amp;DATE(2024,3,1)),"R$ #.##0")</f>
        <v>R$ 82</v>
      </c>
      <c r="D27" s="90" t="str">
        <f>TEXT(SUMIFS(B̳ases!M:M,B̳ases!D:D,"&gt;="&amp;DATE(2024,3,1),B̳ases!D:D,"&lt;"&amp;DATE(2024,4,1)),"R$ #.##0")</f>
        <v>R$ 801</v>
      </c>
      <c r="E27" s="90" t="str">
        <f>TEXT(SUMIFS(B̳ases!M:M,B̳ases!D:D,"&gt;="&amp;DATE(2024,4,1),B̳ases!D:D,"&lt;"&amp;DATE(2024,5,1)),"R$ #.##0")</f>
        <v>R$ 782</v>
      </c>
      <c r="F27" s="90" t="str">
        <f>TEXT(SUMIFS(B̳ases!M:M,B̳ases!D:D,"&gt;="&amp;DATE(2024,5,1),B̳ases!D:D,"&lt;"&amp;DATE(2024,6,1)),"R$ #.##0")</f>
        <v>R$ 777</v>
      </c>
      <c r="G27" s="90" t="str">
        <f>TEXT(SUMIFS(B̳ases!M:M,B̳ases!D:D,"&gt;="&amp;DATE(2024,6,1),B̳ases!D:D,"&lt;"&amp;DATE(2024,7,1)),"R$ #.##0")</f>
        <v>R$ 770</v>
      </c>
      <c r="H27" s="90" t="str">
        <f>TEXT(SUMIFS(B̳ases!M:M,B̳ases!D:D,"&gt;="&amp;DATE(2024,7,1),B̳ases!D:D,"&lt;"&amp;DATE(2024,8,1)),"R$ #.##0")</f>
        <v>R$ 784</v>
      </c>
      <c r="I27" s="90" t="str">
        <f>TEXT(SUMIFS(B̳ases!M:M,B̳ases!D:D,"&gt;="&amp;DATE(2024,8,1),B̳ases!D:D,"&lt;"&amp;DATE(2024,9,1)),"R$ #.##0")</f>
        <v>R$ 787</v>
      </c>
      <c r="J27" s="90" t="str">
        <f>TEXT(SUMIFS(B̳ases!M:M,B̳ases!D:D,"&gt;="&amp;DATE(2024,9,1),B̳ases!D:D,"&lt;"&amp;DATE(2024,10,1)),"R$ #.##0")</f>
        <v>R$ 780</v>
      </c>
      <c r="K27" s="90" t="str">
        <f>TEXT(SUMIFS(B̳ases!M:M,B̳ases!D:D,"&gt;="&amp;DATE(2024,10,1),B̳ases!D:D,"&lt;"&amp;DATE(2024,11,1)),"R$ #.##0")</f>
        <v>R$ 832</v>
      </c>
      <c r="L27" s="90" t="str">
        <f>TEXT(SUMIFS(B̳ases!M:M,B̳ases!D:D,"&gt;="&amp;DATE(2024,11,1),B̳ases!D:D,"&lt;"&amp;DATE(2024,12,1)),"R$ #.##0")</f>
        <v>R$ 784</v>
      </c>
      <c r="M27" s="91" t="str">
        <f>TEXT(SUMIFS(B̳ases!M:M,B̳ases!D:D,"&gt;="&amp;DATE(2024,12,1),B̳ases!D:D,"&lt;"&amp;DATE(2025,1,1)),"R$ #.##0")</f>
        <v>R$ 389</v>
      </c>
      <c r="N27" s="7"/>
      <c r="O27" s="7"/>
      <c r="P27" s="7"/>
      <c r="Q27" s="7"/>
      <c r="R27" s="7"/>
    </row>
    <row r="28" spans="1:18" ht="1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18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18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ht="9.9499999999999993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ht="24.95" customHeight="1" x14ac:dyDescent="0.25">
      <c r="A42" s="7"/>
      <c r="B42" s="21" t="s">
        <v>366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7"/>
    </row>
    <row r="43" spans="1:18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</sheetData>
  <mergeCells count="32">
    <mergeCell ref="B24:M24"/>
    <mergeCell ref="B42:Q42"/>
    <mergeCell ref="H22:I22"/>
    <mergeCell ref="N18:Q18"/>
    <mergeCell ref="N20:O20"/>
    <mergeCell ref="P20:Q20"/>
    <mergeCell ref="N21:O21"/>
    <mergeCell ref="P21:Q21"/>
    <mergeCell ref="N22:O22"/>
    <mergeCell ref="P22:Q22"/>
    <mergeCell ref="B11:F11"/>
    <mergeCell ref="H11:L11"/>
    <mergeCell ref="N11:Q11"/>
    <mergeCell ref="N13:O13"/>
    <mergeCell ref="N14:O14"/>
    <mergeCell ref="N15:O15"/>
    <mergeCell ref="P13:Q13"/>
    <mergeCell ref="P14:Q14"/>
    <mergeCell ref="P15:Q15"/>
    <mergeCell ref="B6:E6"/>
    <mergeCell ref="B7:E8"/>
    <mergeCell ref="F6:I6"/>
    <mergeCell ref="F7:I8"/>
    <mergeCell ref="J6:M6"/>
    <mergeCell ref="J7:M8"/>
    <mergeCell ref="N6:Q6"/>
    <mergeCell ref="B18:E18"/>
    <mergeCell ref="H18:L18"/>
    <mergeCell ref="H20:I20"/>
    <mergeCell ref="H21:I21"/>
    <mergeCell ref="B2:Q3"/>
    <mergeCell ref="N7:Q8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Vinicius Bueno Menezes</cp:lastModifiedBy>
  <cp:revision/>
  <dcterms:created xsi:type="dcterms:W3CDTF">2024-12-19T13:13:10Z</dcterms:created>
  <dcterms:modified xsi:type="dcterms:W3CDTF">2026-04-19T20:16:51Z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